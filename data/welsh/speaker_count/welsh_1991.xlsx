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cademics\thesis\data\welsh\"/>
    </mc:Choice>
  </mc:AlternateContent>
  <bookViews>
    <workbookView xWindow="0" yWindow="0" windowWidth="23040" windowHeight="9084"/>
  </bookViews>
  <sheets>
    <sheet name="Data" sheetId="1" r:id="rId1"/>
  </sheets>
  <calcPr calcId="162913"/>
</workbook>
</file>

<file path=xl/calcChain.xml><?xml version="1.0" encoding="utf-8"?>
<calcChain xmlns="http://schemas.openxmlformats.org/spreadsheetml/2006/main">
  <c r="D8" i="1" l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7" i="1"/>
</calcChain>
</file>

<file path=xl/sharedStrings.xml><?xml version="1.0" encoding="utf-8"?>
<sst xmlns="http://schemas.openxmlformats.org/spreadsheetml/2006/main" count="30" uniqueCount="30">
  <si>
    <t>1991 census - small area statistics</t>
  </si>
  <si>
    <t>ONS Crown Copyright Reserved [from Nomis on 31 March 2026]</t>
  </si>
  <si>
    <t>date</t>
  </si>
  <si>
    <t>S67:11 (All ages : Speaks, reads and writes Gaelic/Welsh : male )</t>
  </si>
  <si>
    <t>S67:12 (All ages : Speaks, reads and writes Gaelic/Welsh : female )</t>
  </si>
  <si>
    <t>local authority: district / unitary (prior to April 2015)</t>
  </si>
  <si>
    <t>Blaenau Gwent</t>
  </si>
  <si>
    <t>Bridgend</t>
  </si>
  <si>
    <t>Caerphilly</t>
  </si>
  <si>
    <t>Cardiff</t>
  </si>
  <si>
    <t>Carmarthenshire</t>
  </si>
  <si>
    <t>Ceredigion</t>
  </si>
  <si>
    <t>Conwy</t>
  </si>
  <si>
    <t>Denbighshire</t>
  </si>
  <si>
    <t>Flintshire</t>
  </si>
  <si>
    <t>Gwynedd</t>
  </si>
  <si>
    <t>Isle of Anglesey</t>
  </si>
  <si>
    <t>Merthyr Tydfil</t>
  </si>
  <si>
    <t>Monmouthshire</t>
  </si>
  <si>
    <t>Neath Port Talbot</t>
  </si>
  <si>
    <t>Newport</t>
  </si>
  <si>
    <t>Pembrokeshire</t>
  </si>
  <si>
    <t>Powys</t>
  </si>
  <si>
    <t>Rhondda Cynon Taff</t>
  </si>
  <si>
    <t>Swansea</t>
  </si>
  <si>
    <t>Torfaen</t>
  </si>
  <si>
    <t>Vale of Glamorgan</t>
  </si>
  <si>
    <t>Wrexham</t>
  </si>
  <si>
    <t>Column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</si>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</sst>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indexed="8"/>
      <name val="Calibri"/>
      <family val="2"/>
      <scheme val="minor"/>
    </font>
    <font>
      <b/>
      <sz val="12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b/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b/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NumberFormat="1" applyFont="1" applyAlignment="1">
      <alignment horizontal="left"/>
    </xf>
    <xf numFmtId="3" fontId="7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selection activeCell="G17" sqref="G17"/>
    </sheetView>
  </sheetViews>
  <sheetFormatPr defaultRowHeight="14.4" x14ac:dyDescent="0.3"/>
  <cols>
    <col min="1" max="1" width="17" customWidth="1" collapsed="1"/>
    <col min="2" max="3" width="14" customWidth="1" collapsed="1"/>
  </cols>
  <sheetData>
    <row r="1" spans="1:4" ht="15.6" x14ac:dyDescent="0.3">
      <c r="A1" s="1" t="s">
        <v>0</v>
      </c>
    </row>
    <row r="2" spans="1:4" x14ac:dyDescent="0.3">
      <c r="A2" s="2" t="s">
        <v>1</v>
      </c>
    </row>
    <row r="4" spans="1:4" x14ac:dyDescent="0.3">
      <c r="A4" s="3" t="s">
        <v>2</v>
      </c>
      <c r="B4" s="3">
        <v>1991</v>
      </c>
    </row>
    <row r="6" spans="1:4" ht="78" customHeight="1" x14ac:dyDescent="0.3">
      <c r="A6" s="5" t="s">
        <v>5</v>
      </c>
      <c r="B6" s="4" t="s">
        <v>3</v>
      </c>
      <c r="C6" s="4" t="s">
        <v>4</v>
      </c>
      <c r="D6" t="s">
        <v>29</v>
      </c>
    </row>
    <row r="7" spans="1:4" x14ac:dyDescent="0.3">
      <c r="A7" s="6" t="s">
        <v>6</v>
      </c>
      <c r="B7" s="7">
        <v>349</v>
      </c>
      <c r="C7" s="7">
        <v>520</v>
      </c>
      <c r="D7" s="9">
        <f>SUM(B7:C7)</f>
        <v>869</v>
      </c>
    </row>
    <row r="8" spans="1:4" x14ac:dyDescent="0.3">
      <c r="A8" s="6" t="s">
        <v>7</v>
      </c>
      <c r="B8" s="7">
        <v>2865</v>
      </c>
      <c r="C8" s="7">
        <v>3924</v>
      </c>
      <c r="D8" s="9">
        <f t="shared" ref="D8:D28" si="0">SUM(B8:C8)</f>
        <v>6789</v>
      </c>
    </row>
    <row r="9" spans="1:4" x14ac:dyDescent="0.3">
      <c r="A9" s="6" t="s">
        <v>8</v>
      </c>
      <c r="B9" s="7">
        <v>2992</v>
      </c>
      <c r="C9" s="7">
        <v>3865</v>
      </c>
      <c r="D9" s="9">
        <f t="shared" si="0"/>
        <v>6857</v>
      </c>
    </row>
    <row r="10" spans="1:4" x14ac:dyDescent="0.3">
      <c r="A10" s="6" t="s">
        <v>9</v>
      </c>
      <c r="B10" s="7">
        <v>5697</v>
      </c>
      <c r="C10" s="7">
        <v>7448</v>
      </c>
      <c r="D10" s="9">
        <f t="shared" si="0"/>
        <v>13145</v>
      </c>
    </row>
    <row r="11" spans="1:4" x14ac:dyDescent="0.3">
      <c r="A11" s="6" t="s">
        <v>10</v>
      </c>
      <c r="B11" s="7">
        <v>29178</v>
      </c>
      <c r="C11" s="7">
        <v>33815</v>
      </c>
      <c r="D11" s="9">
        <f t="shared" si="0"/>
        <v>62993</v>
      </c>
    </row>
    <row r="12" spans="1:4" x14ac:dyDescent="0.3">
      <c r="A12" s="6" t="s">
        <v>11</v>
      </c>
      <c r="B12" s="7">
        <v>13845</v>
      </c>
      <c r="C12" s="7">
        <v>15466</v>
      </c>
      <c r="D12" s="9">
        <f t="shared" si="0"/>
        <v>29311</v>
      </c>
    </row>
    <row r="13" spans="1:4" x14ac:dyDescent="0.3">
      <c r="A13" s="6" t="s">
        <v>12</v>
      </c>
      <c r="B13" s="7">
        <v>10700</v>
      </c>
      <c r="C13" s="7">
        <v>12640</v>
      </c>
      <c r="D13" s="9">
        <f t="shared" si="0"/>
        <v>23340</v>
      </c>
    </row>
    <row r="14" spans="1:4" x14ac:dyDescent="0.3">
      <c r="A14" s="6" t="s">
        <v>13</v>
      </c>
      <c r="B14" s="7">
        <v>7744</v>
      </c>
      <c r="C14" s="7">
        <v>8924</v>
      </c>
      <c r="D14" s="9">
        <f t="shared" si="0"/>
        <v>16668</v>
      </c>
    </row>
    <row r="15" spans="1:4" x14ac:dyDescent="0.3">
      <c r="A15" s="6" t="s">
        <v>14</v>
      </c>
      <c r="B15" s="7">
        <v>5735</v>
      </c>
      <c r="C15" s="7">
        <v>6974</v>
      </c>
      <c r="D15" s="9">
        <f t="shared" si="0"/>
        <v>12709</v>
      </c>
    </row>
    <row r="16" spans="1:4" x14ac:dyDescent="0.3">
      <c r="A16" s="6" t="s">
        <v>15</v>
      </c>
      <c r="B16" s="7">
        <v>31982</v>
      </c>
      <c r="C16" s="7">
        <v>35529</v>
      </c>
      <c r="D16" s="9">
        <f t="shared" si="0"/>
        <v>67511</v>
      </c>
    </row>
    <row r="17" spans="1:4" x14ac:dyDescent="0.3">
      <c r="A17" s="6" t="s">
        <v>16</v>
      </c>
      <c r="B17" s="7">
        <v>15748</v>
      </c>
      <c r="C17" s="7">
        <v>17457</v>
      </c>
      <c r="D17" s="9">
        <f t="shared" si="0"/>
        <v>33205</v>
      </c>
    </row>
    <row r="18" spans="1:4" x14ac:dyDescent="0.3">
      <c r="A18" s="6" t="s">
        <v>17</v>
      </c>
      <c r="B18" s="7">
        <v>1061</v>
      </c>
      <c r="C18" s="7">
        <v>1501</v>
      </c>
      <c r="D18" s="9">
        <f t="shared" si="0"/>
        <v>2562</v>
      </c>
    </row>
    <row r="19" spans="1:4" x14ac:dyDescent="0.3">
      <c r="A19" s="6" t="s">
        <v>18</v>
      </c>
      <c r="B19" s="7">
        <v>451</v>
      </c>
      <c r="C19" s="7">
        <v>527</v>
      </c>
      <c r="D19" s="9">
        <f t="shared" si="0"/>
        <v>978</v>
      </c>
    </row>
    <row r="20" spans="1:4" x14ac:dyDescent="0.3">
      <c r="A20" s="6" t="s">
        <v>19</v>
      </c>
      <c r="B20" s="7">
        <v>6144</v>
      </c>
      <c r="C20" s="7">
        <v>7987</v>
      </c>
      <c r="D20" s="9">
        <f t="shared" si="0"/>
        <v>14131</v>
      </c>
    </row>
    <row r="21" spans="1:4" x14ac:dyDescent="0.3">
      <c r="A21" s="6" t="s">
        <v>20</v>
      </c>
      <c r="B21" s="7">
        <v>791</v>
      </c>
      <c r="C21" s="7">
        <v>988</v>
      </c>
      <c r="D21" s="9">
        <f t="shared" si="0"/>
        <v>1779</v>
      </c>
    </row>
    <row r="22" spans="1:4" x14ac:dyDescent="0.3">
      <c r="A22" s="6" t="s">
        <v>21</v>
      </c>
      <c r="B22" s="7">
        <v>6189</v>
      </c>
      <c r="C22" s="7">
        <v>7263</v>
      </c>
      <c r="D22" s="9">
        <f t="shared" si="0"/>
        <v>13452</v>
      </c>
    </row>
    <row r="23" spans="1:4" x14ac:dyDescent="0.3">
      <c r="A23" s="6" t="s">
        <v>22</v>
      </c>
      <c r="B23" s="7">
        <v>7420</v>
      </c>
      <c r="C23" s="7">
        <v>8744</v>
      </c>
      <c r="D23" s="9">
        <f t="shared" si="0"/>
        <v>16164</v>
      </c>
    </row>
    <row r="24" spans="1:4" x14ac:dyDescent="0.3">
      <c r="A24" s="6" t="s">
        <v>23</v>
      </c>
      <c r="B24" s="7">
        <v>5749</v>
      </c>
      <c r="C24" s="7">
        <v>7908</v>
      </c>
      <c r="D24" s="9">
        <f t="shared" si="0"/>
        <v>13657</v>
      </c>
    </row>
    <row r="25" spans="1:4" x14ac:dyDescent="0.3">
      <c r="A25" s="6" t="s">
        <v>24</v>
      </c>
      <c r="B25" s="7">
        <v>6781</v>
      </c>
      <c r="C25" s="7">
        <v>9219</v>
      </c>
      <c r="D25" s="9">
        <f t="shared" si="0"/>
        <v>16000</v>
      </c>
    </row>
    <row r="26" spans="1:4" x14ac:dyDescent="0.3">
      <c r="A26" s="6" t="s">
        <v>25</v>
      </c>
      <c r="B26" s="7">
        <v>600</v>
      </c>
      <c r="C26" s="7">
        <v>731</v>
      </c>
      <c r="D26" s="9">
        <f t="shared" si="0"/>
        <v>1331</v>
      </c>
    </row>
    <row r="27" spans="1:4" x14ac:dyDescent="0.3">
      <c r="A27" s="6" t="s">
        <v>26</v>
      </c>
      <c r="B27" s="7">
        <v>2300</v>
      </c>
      <c r="C27" s="7">
        <v>3095</v>
      </c>
      <c r="D27" s="9">
        <f t="shared" si="0"/>
        <v>5395</v>
      </c>
    </row>
    <row r="28" spans="1:4" x14ac:dyDescent="0.3">
      <c r="A28" s="6" t="s">
        <v>27</v>
      </c>
      <c r="B28" s="7">
        <v>4775</v>
      </c>
      <c r="C28" s="7">
        <v>6097</v>
      </c>
      <c r="D28" s="9">
        <f t="shared" si="0"/>
        <v>10872</v>
      </c>
    </row>
    <row r="29" spans="1:4" ht="18" customHeight="1" x14ac:dyDescent="0.3">
      <c r="A29" s="6" t="s">
        <v>28</v>
      </c>
      <c r="B29" s="8">
        <v>169096</v>
      </c>
      <c r="C29" s="8">
        <v>200622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sarp</cp:lastModifiedBy>
  <dcterms:created xsi:type="dcterms:W3CDTF">2026-03-31T15:47:25Z</dcterms:created>
  <dcterms:modified xsi:type="dcterms:W3CDTF">2026-03-31T15:17:52Z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