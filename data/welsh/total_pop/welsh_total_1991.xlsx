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ademics\thesis\data\welsh\total_pop\"/>
    </mc:Choice>
  </mc:AlternateContent>
  <bookViews>
    <workbookView xWindow="0" yWindow="0" windowWidth="23040" windowHeight="9084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F29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7" i="1"/>
</calcChain>
</file>

<file path=xl/sharedStrings.xml><?xml version="1.0" encoding="utf-8"?>
<sst xmlns="http://schemas.openxmlformats.org/spreadsheetml/2006/main" count="30" uniqueCount="30">
  <si>
    <t>1991 census - local base statistics</t>
  </si>
  <si>
    <t>ONS Crown Copyright Reserved [from Nomis on 1 April 2026]</t>
  </si>
  <si>
    <t>date</t>
  </si>
  <si>
    <t>L67W:1 (All ages : Total male )</t>
  </si>
  <si>
    <t>L67W:2 (All ages : Total female )</t>
  </si>
  <si>
    <t>local authority: district / unitary (prior to April 2015)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</si>
  <si>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</si>
  <si>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</si>
  <si>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</si>
  <si>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</si>
  <si>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</si>
  <si>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</si>
  <si>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</si>
  <si>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</si>
  <si>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</si>
  <si>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</si>
  <si>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</si>
  <si>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</si>
  <si>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</si>
  <si>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</si>
  <si>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</si>
  <si>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</si>
  <si>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</si>
  <si>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</si>
  <si>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</si>
  <si>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</si>
  <si>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</si>
  <si>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</si>
  <si>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Column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</si>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</sst>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6" workbookViewId="0">
      <selection activeCell="D7" sqref="D7:D28"/>
    </sheetView>
  </sheetViews>
  <sheetFormatPr defaultRowHeight="14.4" x14ac:dyDescent="0.3"/>
  <cols>
    <col min="1" max="1" width="17" customWidth="1" collapsed="1"/>
    <col min="2" max="3" width="14" customWidth="1" collapsed="1"/>
  </cols>
  <sheetData>
    <row r="1" spans="1:6" ht="15.6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>
        <v>1991</v>
      </c>
    </row>
    <row r="6" spans="1:6" ht="39" customHeight="1" x14ac:dyDescent="0.3">
      <c r="A6" s="5" t="s">
        <v>5</v>
      </c>
      <c r="B6" s="4" t="s">
        <v>3</v>
      </c>
      <c r="C6" s="4" t="s">
        <v>4</v>
      </c>
      <c r="D6" t="s">
        <v>29</v>
      </c>
    </row>
    <row r="7" spans="1:6" x14ac:dyDescent="0.3">
      <c r="A7" s="6" t="s">
        <v>6</v>
      </c>
      <c r="B7" s="7">
        <v>35204</v>
      </c>
      <c r="C7" s="7">
        <v>37054</v>
      </c>
      <c r="D7">
        <v>72258</v>
      </c>
      <c r="F7" s="9">
        <f>SUM(B7:C7)</f>
        <v>72258</v>
      </c>
    </row>
    <row r="8" spans="1:6" x14ac:dyDescent="0.3">
      <c r="A8" s="6" t="s">
        <v>7</v>
      </c>
      <c r="B8" s="7">
        <v>62445</v>
      </c>
      <c r="C8" s="7">
        <v>66808</v>
      </c>
      <c r="D8">
        <v>129253</v>
      </c>
      <c r="F8" s="9">
        <f>SUM(B8:C8)</f>
        <v>129253</v>
      </c>
    </row>
    <row r="9" spans="1:6" x14ac:dyDescent="0.3">
      <c r="A9" s="6" t="s">
        <v>8</v>
      </c>
      <c r="B9" s="7">
        <v>82711</v>
      </c>
      <c r="C9" s="7">
        <v>86921</v>
      </c>
      <c r="D9">
        <v>169632</v>
      </c>
      <c r="F9" s="9">
        <f>SUM(B9:C9)</f>
        <v>169632</v>
      </c>
    </row>
    <row r="10" spans="1:6" x14ac:dyDescent="0.3">
      <c r="A10" s="6" t="s">
        <v>9</v>
      </c>
      <c r="B10" s="7">
        <v>137019</v>
      </c>
      <c r="C10" s="7">
        <v>148367</v>
      </c>
      <c r="D10">
        <v>285386</v>
      </c>
      <c r="F10" s="9">
        <f>SUM(B10:C10)</f>
        <v>285386</v>
      </c>
    </row>
    <row r="11" spans="1:6" x14ac:dyDescent="0.3">
      <c r="A11" s="6" t="s">
        <v>10</v>
      </c>
      <c r="B11" s="7">
        <v>81289</v>
      </c>
      <c r="C11" s="7">
        <v>87090</v>
      </c>
      <c r="D11">
        <v>168379</v>
      </c>
      <c r="F11" s="9">
        <f>SUM(B11:C11)</f>
        <v>168379</v>
      </c>
    </row>
    <row r="12" spans="1:6" x14ac:dyDescent="0.3">
      <c r="A12" s="6" t="s">
        <v>11</v>
      </c>
      <c r="B12" s="7">
        <v>30592</v>
      </c>
      <c r="C12" s="7">
        <v>32495</v>
      </c>
      <c r="D12">
        <v>63087</v>
      </c>
      <c r="F12" s="9">
        <f>SUM(B12:C12)</f>
        <v>63087</v>
      </c>
    </row>
    <row r="13" spans="1:6" x14ac:dyDescent="0.3">
      <c r="A13" s="6" t="s">
        <v>12</v>
      </c>
      <c r="B13" s="7">
        <v>49624</v>
      </c>
      <c r="C13" s="7">
        <v>56682</v>
      </c>
      <c r="D13">
        <v>106306</v>
      </c>
      <c r="F13" s="9">
        <f>SUM(B13:C13)</f>
        <v>106306</v>
      </c>
    </row>
    <row r="14" spans="1:6" x14ac:dyDescent="0.3">
      <c r="A14" s="6" t="s">
        <v>13</v>
      </c>
      <c r="B14" s="7">
        <v>41751</v>
      </c>
      <c r="C14" s="7">
        <v>46477</v>
      </c>
      <c r="D14">
        <v>88228</v>
      </c>
      <c r="F14" s="9">
        <f>SUM(B14:C14)</f>
        <v>88228</v>
      </c>
    </row>
    <row r="15" spans="1:6" x14ac:dyDescent="0.3">
      <c r="A15" s="6" t="s">
        <v>14</v>
      </c>
      <c r="B15" s="7">
        <v>69029</v>
      </c>
      <c r="C15" s="7">
        <v>72337</v>
      </c>
      <c r="D15">
        <v>141366</v>
      </c>
      <c r="F15" s="9">
        <f>SUM(B15:C15)</f>
        <v>141366</v>
      </c>
    </row>
    <row r="16" spans="1:6" x14ac:dyDescent="0.3">
      <c r="A16" s="6" t="s">
        <v>15</v>
      </c>
      <c r="B16" s="7">
        <v>54335</v>
      </c>
      <c r="C16" s="7">
        <v>59006</v>
      </c>
      <c r="D16">
        <v>113341</v>
      </c>
      <c r="F16" s="9">
        <f>SUM(B16:C16)</f>
        <v>113341</v>
      </c>
    </row>
    <row r="17" spans="1:6" x14ac:dyDescent="0.3">
      <c r="A17" s="6" t="s">
        <v>16</v>
      </c>
      <c r="B17" s="7">
        <v>33574</v>
      </c>
      <c r="C17" s="7">
        <v>35569</v>
      </c>
      <c r="D17">
        <v>69143</v>
      </c>
      <c r="F17" s="9">
        <f>SUM(B17:C17)</f>
        <v>69143</v>
      </c>
    </row>
    <row r="18" spans="1:6" x14ac:dyDescent="0.3">
      <c r="A18" s="6" t="s">
        <v>17</v>
      </c>
      <c r="B18" s="7">
        <v>28530</v>
      </c>
      <c r="C18" s="7">
        <v>30772</v>
      </c>
      <c r="D18">
        <v>59302</v>
      </c>
      <c r="F18" s="9">
        <f>SUM(B18:C18)</f>
        <v>59302</v>
      </c>
    </row>
    <row r="19" spans="1:6" x14ac:dyDescent="0.3">
      <c r="A19" s="6" t="s">
        <v>18</v>
      </c>
      <c r="B19" s="7">
        <v>39032</v>
      </c>
      <c r="C19" s="7">
        <v>40874</v>
      </c>
      <c r="D19">
        <v>79906</v>
      </c>
      <c r="F19" s="9">
        <f>SUM(B19:C19)</f>
        <v>79906</v>
      </c>
    </row>
    <row r="20" spans="1:6" x14ac:dyDescent="0.3">
      <c r="A20" s="6" t="s">
        <v>19</v>
      </c>
      <c r="B20" s="7">
        <v>66654</v>
      </c>
      <c r="C20" s="7">
        <v>71545</v>
      </c>
      <c r="D20">
        <v>138199</v>
      </c>
      <c r="F20" s="9">
        <f>SUM(B20:C20)</f>
        <v>138199</v>
      </c>
    </row>
    <row r="21" spans="1:6" x14ac:dyDescent="0.3">
      <c r="A21" s="6" t="s">
        <v>20</v>
      </c>
      <c r="B21" s="7">
        <v>64378</v>
      </c>
      <c r="C21" s="7">
        <v>68960</v>
      </c>
      <c r="D21">
        <v>133338</v>
      </c>
      <c r="F21" s="9">
        <f>SUM(B21:C21)</f>
        <v>133338</v>
      </c>
    </row>
    <row r="22" spans="1:6" x14ac:dyDescent="0.3">
      <c r="A22" s="6" t="s">
        <v>21</v>
      </c>
      <c r="B22" s="7">
        <v>54435</v>
      </c>
      <c r="C22" s="7">
        <v>57665</v>
      </c>
      <c r="D22">
        <v>112100</v>
      </c>
      <c r="F22" s="9">
        <f>SUM(B22:C22)</f>
        <v>112100</v>
      </c>
    </row>
    <row r="23" spans="1:6" x14ac:dyDescent="0.3">
      <c r="A23" s="6" t="s">
        <v>22</v>
      </c>
      <c r="B23" s="7">
        <v>58761</v>
      </c>
      <c r="C23" s="7">
        <v>60533</v>
      </c>
      <c r="D23">
        <v>119294</v>
      </c>
      <c r="F23" s="9">
        <f>SUM(B23:C23)</f>
        <v>119294</v>
      </c>
    </row>
    <row r="24" spans="1:6" x14ac:dyDescent="0.3">
      <c r="A24" s="6" t="s">
        <v>23</v>
      </c>
      <c r="B24" s="7">
        <v>113102</v>
      </c>
      <c r="C24" s="7">
        <v>119470</v>
      </c>
      <c r="D24">
        <v>232572</v>
      </c>
      <c r="F24" s="9">
        <f>SUM(B24:C24)</f>
        <v>232572</v>
      </c>
    </row>
    <row r="25" spans="1:6" x14ac:dyDescent="0.3">
      <c r="A25" s="6" t="s">
        <v>24</v>
      </c>
      <c r="B25" s="7">
        <v>107433</v>
      </c>
      <c r="C25" s="7">
        <v>115740</v>
      </c>
      <c r="D25">
        <v>223173</v>
      </c>
      <c r="F25" s="9">
        <f>SUM(B25:C25)</f>
        <v>223173</v>
      </c>
    </row>
    <row r="26" spans="1:6" x14ac:dyDescent="0.3">
      <c r="A26" s="6" t="s">
        <v>25</v>
      </c>
      <c r="B26" s="7">
        <v>43924</v>
      </c>
      <c r="C26" s="7">
        <v>46611</v>
      </c>
      <c r="D26">
        <v>90535</v>
      </c>
      <c r="F26" s="9">
        <f>SUM(B26:C26)</f>
        <v>90535</v>
      </c>
    </row>
    <row r="27" spans="1:6" x14ac:dyDescent="0.3">
      <c r="A27" s="6" t="s">
        <v>26</v>
      </c>
      <c r="B27" s="7">
        <v>56575</v>
      </c>
      <c r="C27" s="7">
        <v>60334</v>
      </c>
      <c r="D27">
        <v>116909</v>
      </c>
      <c r="F27" s="9">
        <f>SUM(B27:C27)</f>
        <v>116909</v>
      </c>
    </row>
    <row r="28" spans="1:6" x14ac:dyDescent="0.3">
      <c r="A28" s="6" t="s">
        <v>27</v>
      </c>
      <c r="B28" s="7">
        <v>59549</v>
      </c>
      <c r="C28" s="7">
        <v>63811</v>
      </c>
      <c r="D28">
        <v>123360</v>
      </c>
      <c r="F28" s="9">
        <f>SUM(B28:C28)</f>
        <v>123360</v>
      </c>
    </row>
    <row r="29" spans="1:6" ht="18" customHeight="1" x14ac:dyDescent="0.3">
      <c r="A29" s="6" t="s">
        <v>28</v>
      </c>
      <c r="B29" s="8">
        <v>1369946</v>
      </c>
      <c r="C29" s="8">
        <v>1465121</v>
      </c>
      <c r="D29">
        <v>2835067</v>
      </c>
      <c r="F29" s="9">
        <f>SUM(B29:C29)</f>
        <v>2835067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sarp</cp:lastModifiedBy>
  <dcterms:created xsi:type="dcterms:W3CDTF">2026-04-01T12:04:21Z</dcterms:created>
  <dcterms:modified xsi:type="dcterms:W3CDTF">2026-04-01T11:09:05Z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